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<sst xmlns="http://schemas.openxmlformats.org/spreadsheetml/2006/main" count="169" uniqueCount="104">
  <si>
    <t xml:space="preserve">Submitted
Date</t>
  </si>
  <si>
    <t xml:space="preserve">Defect ID</t>
  </si>
  <si>
    <t xml:space="preserve">Description</t>
  </si>
  <si>
    <t xml:space="preserve">Detected
Sprint</t>
  </si>
  <si>
    <t xml:space="preserve">Assigned To</t>
  </si>
  <si>
    <t xml:space="preserve">Type Of
Defect</t>
  </si>
  <si>
    <t xml:space="preserve">Action Taken</t>
  </si>
  <si>
    <t xml:space="preserve">Action Taken
Date</t>
  </si>
  <si>
    <t xml:space="preserve">Status
(Open/Closed)</t>
  </si>
  <si>
    <t xml:space="preserve">Severity</t>
  </si>
  <si>
    <t xml:space="preserve">Priority</t>
  </si>
  <si>
    <t xml:space="preserve">Remarks</t>
  </si>
  <si>
    <t xml:space="preserve">3/5/2026</t>
  </si>
  <si>
    <t xml:space="preserve">DEF-001</t>
  </si>
  <si>
    <t xml:space="preserve">File upload fails for large PDF files (&gt;10MB)</t>
  </si>
  <si>
    <t xml:space="preserve">Sprint 1</t>
  </si>
  <si>
    <t xml:space="preserve">Intern Name</t>
  </si>
  <si>
    <t xml:space="preserve">Functional</t>
  </si>
  <si>
    <t xml:space="preserve">Added file size validation and optimized upload logic</t>
  </si>
  <si>
    <t xml:space="preserve">3/6/2026</t>
  </si>
  <si>
    <t xml:space="preserve">Closed</t>
  </si>
  <si>
    <t xml:space="preserve">High</t>
  </si>
  <si>
    <t xml:space="preserve">Working as expected</t>
  </si>
  <si>
    <t xml:space="preserve">DEF-002</t>
  </si>
  <si>
    <t xml:space="preserve">Extracted text contains special character issues</t>
  </si>
  <si>
    <t xml:space="preserve">Data</t>
  </si>
  <si>
    <t xml:space="preserve">Implemented text cleanup and encoding fix</t>
  </si>
  <si>
    <t xml:space="preserve">3/7/2026</t>
  </si>
  <si>
    <t xml:space="preserve">Medium</t>
  </si>
  <si>
    <t xml:space="preserve">Verified with multiple documents</t>
  </si>
  <si>
    <t xml:space="preserve">DEF-003</t>
  </si>
  <si>
    <t xml:space="preserve">DOCX files not processed correctly for tables</t>
  </si>
  <si>
    <t xml:space="preserve">Fixed DOCX parsing logic for nested tables</t>
  </si>
  <si>
    <t xml:space="preserve">3/8/2026</t>
  </si>
  <si>
    <t xml:space="preserve">No errors observed</t>
  </si>
  <si>
    <t xml:space="preserve">DEF-004</t>
  </si>
  <si>
    <t xml:space="preserve">Search results not ranked properly by relevance</t>
  </si>
  <si>
    <t xml:space="preserve">Sprint 2</t>
  </si>
  <si>
    <t xml:space="preserve">Performance</t>
  </si>
  <si>
    <t xml:space="preserve">Improved relevance scoring logic in FAISS</t>
  </si>
  <si>
    <t xml:space="preserve">3/10/2026</t>
  </si>
  <si>
    <t xml:space="preserve">Open</t>
  </si>
  <si>
    <t xml:space="preserve">Needs further tuning</t>
  </si>
  <si>
    <t xml:space="preserve">3/9/2026</t>
  </si>
  <si>
    <t xml:space="preserve">DEF-005</t>
  </si>
  <si>
    <t xml:space="preserve">Chatbot response delayed for large document sets</t>
  </si>
  <si>
    <t xml:space="preserve">Added basic caching mechanism for repeated queries</t>
  </si>
  <si>
    <t xml:space="preserve">3/11/2026</t>
  </si>
  <si>
    <t xml:space="preserve">Monitoring performance</t>
  </si>
  <si>
    <t xml:space="preserve">DEF-006</t>
  </si>
  <si>
    <t xml:space="preserve">UI misalignment on document upload screen (mobile)</t>
  </si>
  <si>
    <t xml:space="preserve">UI</t>
  </si>
  <si>
    <t xml:space="preserve">Corrected CSS styling for responsive layout</t>
  </si>
  <si>
    <t xml:space="preserve">Low</t>
  </si>
  <si>
    <t xml:space="preserve">UI verified on multiple devices</t>
  </si>
  <si>
    <t xml:space="preserve">DEF-007</t>
  </si>
  <si>
    <t xml:space="preserve">Incorrect error message for unsupported file types</t>
  </si>
  <si>
    <t xml:space="preserve">Usability</t>
  </si>
  <si>
    <t xml:space="preserve">Updated validation messages to be descriptive</t>
  </si>
  <si>
    <t xml:space="preserve">3/12/2026</t>
  </si>
  <si>
    <t xml:space="preserve">Improved user feedback</t>
  </si>
  <si>
    <t xml:space="preserve">DEF-008</t>
  </si>
  <si>
    <t xml:space="preserve">Duplicate documents allowed during upload</t>
  </si>
  <si>
    <t xml:space="preserve">Sprint 3</t>
  </si>
  <si>
    <t xml:space="preserve">Added duplicate check using file hash comparison</t>
  </si>
  <si>
    <t xml:space="preserve">3/13/2026</t>
  </si>
  <si>
    <t xml:space="preserve">Duplicate prevention working</t>
  </si>
  <si>
    <t xml:space="preserve">3/14/2026</t>
  </si>
  <si>
    <t xml:space="preserve">DEF-009</t>
  </si>
  <si>
    <t xml:space="preserve">Source citations missing for some document chunks</t>
  </si>
  <si>
    <t xml:space="preserve">Fixed chunk metadata preservation in RAG pipeline</t>
  </si>
  <si>
    <t xml:space="preserve">3/15/2026</t>
  </si>
  <si>
    <t xml:space="preserve">Partial fix applied</t>
  </si>
  <si>
    <t xml:space="preserve">DEF-010</t>
  </si>
  <si>
    <t xml:space="preserve">Multi-turn context lost after 5th query</t>
  </si>
  <si>
    <t xml:space="preserve">Increased conversation history buffer size</t>
  </si>
  <si>
    <t xml:space="preserve">3/16/2026</t>
  </si>
  <si>
    <t xml:space="preserve">Needs regression testing</t>
  </si>
  <si>
    <t xml:space="preserve">3/17/2026</t>
  </si>
  <si>
    <t xml:space="preserve">DEF-011</t>
  </si>
  <si>
    <t xml:space="preserve">Backend API returns 500 error on empty query</t>
  </si>
  <si>
    <t xml:space="preserve">Sprint 4</t>
  </si>
  <si>
    <t xml:space="preserve">Added input validation and empty query guard</t>
  </si>
  <si>
    <t xml:space="preserve">Critical</t>
  </si>
  <si>
    <t xml:space="preserve">No further occurrences</t>
  </si>
  <si>
    <t xml:space="preserve">3/18/2026</t>
  </si>
  <si>
    <t xml:space="preserve">DEF-012</t>
  </si>
  <si>
    <t xml:space="preserve">Cold start on Render causes 30s timeout</t>
  </si>
  <si>
    <t xml:space="preserve">Implemented health-check ping to prevent cold start</t>
  </si>
  <si>
    <t xml:space="preserve">3/19/2026</t>
  </si>
  <si>
    <t xml:space="preserve">Monitoring uptime</t>
  </si>
  <si>
    <t xml:space="preserve">Defect Summary Dashboard</t>
  </si>
  <si>
    <t xml:space="preserve">Category</t>
  </si>
  <si>
    <t xml:space="preserve">Count</t>
  </si>
  <si>
    <t xml:space="preserve">Total Defects</t>
  </si>
  <si>
    <t xml:space="preserve">Open Defects</t>
  </si>
  <si>
    <t xml:space="preserve">Closed Defects</t>
  </si>
  <si>
    <t xml:space="preserve">Critical Severity</t>
  </si>
  <si>
    <t xml:space="preserve">High Severity</t>
  </si>
  <si>
    <t xml:space="preserve">Medium Severity</t>
  </si>
  <si>
    <t xml:space="preserve">Low Severity</t>
  </si>
  <si>
    <t xml:space="preserve">Functional Defects</t>
  </si>
  <si>
    <t xml:space="preserve">Performance Defects</t>
  </si>
  <si>
    <t xml:space="preserve">UI/Usability Defects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</si>
</sst>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EB9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EFDA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45"/>
    <col collapsed="false" customWidth="true" hidden="false" outlineLevel="0" max="9" min="8" style="0" width="14"/>
    <col collapsed="false" customWidth="true" hidden="false" outlineLevel="0" max="11" min="10" style="0" width="10"/>
    <col collapsed="false" customWidth="true" hidden="false" outlineLevel="0" max="12" min="12" style="0" width="25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7.75" hidden="false" customHeight="true" outlineLevel="0" collapsed="false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2" t="s">
        <v>17</v>
      </c>
      <c r="G2" s="3" t="s">
        <v>18</v>
      </c>
      <c r="H2" s="2" t="s">
        <v>19</v>
      </c>
      <c r="I2" s="4" t="s">
        <v>20</v>
      </c>
      <c r="J2" s="5" t="s">
        <v>21</v>
      </c>
      <c r="K2" s="2" t="s">
        <v>21</v>
      </c>
      <c r="L2" s="3" t="s">
        <v>22</v>
      </c>
    </row>
    <row r="3" customFormat="false" ht="27.75" hidden="false" customHeight="true" outlineLevel="0" collapsed="false">
      <c r="A3" s="2" t="s">
        <v>19</v>
      </c>
      <c r="B3" s="2" t="s">
        <v>23</v>
      </c>
      <c r="C3" s="3" t="s">
        <v>24</v>
      </c>
      <c r="D3" s="2" t="s">
        <v>15</v>
      </c>
      <c r="E3" s="2" t="s">
        <v>16</v>
      </c>
      <c r="F3" s="2" t="s">
        <v>25</v>
      </c>
      <c r="G3" s="3" t="s">
        <v>26</v>
      </c>
      <c r="H3" s="2" t="s">
        <v>27</v>
      </c>
      <c r="I3" s="4" t="s">
        <v>20</v>
      </c>
      <c r="J3" s="6" t="s">
        <v>28</v>
      </c>
      <c r="K3" s="2" t="s">
        <v>28</v>
      </c>
      <c r="L3" s="3" t="s">
        <v>29</v>
      </c>
    </row>
    <row r="4" customFormat="false" ht="27.75" hidden="false" customHeight="true" outlineLevel="0" collapsed="false">
      <c r="A4" s="2" t="s">
        <v>27</v>
      </c>
      <c r="B4" s="2" t="s">
        <v>30</v>
      </c>
      <c r="C4" s="3" t="s">
        <v>31</v>
      </c>
      <c r="D4" s="2" t="s">
        <v>15</v>
      </c>
      <c r="E4" s="2" t="s">
        <v>16</v>
      </c>
      <c r="F4" s="2" t="s">
        <v>17</v>
      </c>
      <c r="G4" s="3" t="s">
        <v>32</v>
      </c>
      <c r="H4" s="2" t="s">
        <v>33</v>
      </c>
      <c r="I4" s="4" t="s">
        <v>20</v>
      </c>
      <c r="J4" s="5" t="s">
        <v>21</v>
      </c>
      <c r="K4" s="2" t="s">
        <v>21</v>
      </c>
      <c r="L4" s="3" t="s">
        <v>34</v>
      </c>
    </row>
    <row r="5" customFormat="false" ht="27.75" hidden="false" customHeight="true" outlineLevel="0" collapsed="false">
      <c r="A5" s="2" t="s">
        <v>33</v>
      </c>
      <c r="B5" s="2" t="s">
        <v>35</v>
      </c>
      <c r="C5" s="3" t="s">
        <v>36</v>
      </c>
      <c r="D5" s="2" t="s">
        <v>37</v>
      </c>
      <c r="E5" s="2" t="s">
        <v>16</v>
      </c>
      <c r="F5" s="2" t="s">
        <v>38</v>
      </c>
      <c r="G5" s="3" t="s">
        <v>39</v>
      </c>
      <c r="H5" s="2" t="s">
        <v>40</v>
      </c>
      <c r="I5" s="6" t="s">
        <v>41</v>
      </c>
      <c r="J5" s="6" t="s">
        <v>28</v>
      </c>
      <c r="K5" s="2" t="s">
        <v>21</v>
      </c>
      <c r="L5" s="3" t="s">
        <v>42</v>
      </c>
    </row>
    <row r="6" customFormat="false" ht="27.75" hidden="false" customHeight="true" outlineLevel="0" collapsed="false">
      <c r="A6" s="2" t="s">
        <v>43</v>
      </c>
      <c r="B6" s="2" t="s">
        <v>44</v>
      </c>
      <c r="C6" s="3" t="s">
        <v>45</v>
      </c>
      <c r="D6" s="2" t="s">
        <v>37</v>
      </c>
      <c r="E6" s="2" t="s">
        <v>16</v>
      </c>
      <c r="F6" s="2" t="s">
        <v>38</v>
      </c>
      <c r="G6" s="3" t="s">
        <v>46</v>
      </c>
      <c r="H6" s="2" t="s">
        <v>47</v>
      </c>
      <c r="I6" s="6" t="s">
        <v>41</v>
      </c>
      <c r="J6" s="5" t="s">
        <v>21</v>
      </c>
      <c r="K6" s="2" t="s">
        <v>21</v>
      </c>
      <c r="L6" s="3" t="s">
        <v>48</v>
      </c>
    </row>
    <row r="7" customFormat="false" ht="27.75" hidden="false" customHeight="true" outlineLevel="0" collapsed="false">
      <c r="A7" s="2" t="s">
        <v>40</v>
      </c>
      <c r="B7" s="2" t="s">
        <v>49</v>
      </c>
      <c r="C7" s="3" t="s">
        <v>50</v>
      </c>
      <c r="D7" s="2" t="s">
        <v>37</v>
      </c>
      <c r="E7" s="2" t="s">
        <v>16</v>
      </c>
      <c r="F7" s="2" t="s">
        <v>51</v>
      </c>
      <c r="G7" s="3" t="s">
        <v>52</v>
      </c>
      <c r="H7" s="2" t="s">
        <v>40</v>
      </c>
      <c r="I7" s="4" t="s">
        <v>20</v>
      </c>
      <c r="J7" s="4" t="s">
        <v>53</v>
      </c>
      <c r="K7" s="2" t="s">
        <v>28</v>
      </c>
      <c r="L7" s="3" t="s">
        <v>54</v>
      </c>
    </row>
    <row r="8" customFormat="false" ht="27.75" hidden="false" customHeight="true" outlineLevel="0" collapsed="false">
      <c r="A8" s="2" t="s">
        <v>47</v>
      </c>
      <c r="B8" s="2" t="s">
        <v>55</v>
      </c>
      <c r="C8" s="3" t="s">
        <v>56</v>
      </c>
      <c r="D8" s="2" t="s">
        <v>37</v>
      </c>
      <c r="E8" s="2" t="s">
        <v>16</v>
      </c>
      <c r="F8" s="2" t="s">
        <v>57</v>
      </c>
      <c r="G8" s="3" t="s">
        <v>58</v>
      </c>
      <c r="H8" s="2" t="s">
        <v>59</v>
      </c>
      <c r="I8" s="4" t="s">
        <v>20</v>
      </c>
      <c r="J8" s="4" t="s">
        <v>53</v>
      </c>
      <c r="K8" s="2" t="s">
        <v>53</v>
      </c>
      <c r="L8" s="3" t="s">
        <v>60</v>
      </c>
    </row>
    <row r="9" customFormat="false" ht="27.75" hidden="false" customHeight="true" outlineLevel="0" collapsed="false">
      <c r="A9" s="2" t="s">
        <v>59</v>
      </c>
      <c r="B9" s="2" t="s">
        <v>61</v>
      </c>
      <c r="C9" s="3" t="s">
        <v>62</v>
      </c>
      <c r="D9" s="2" t="s">
        <v>63</v>
      </c>
      <c r="E9" s="2" t="s">
        <v>16</v>
      </c>
      <c r="F9" s="2" t="s">
        <v>17</v>
      </c>
      <c r="G9" s="3" t="s">
        <v>64</v>
      </c>
      <c r="H9" s="2" t="s">
        <v>65</v>
      </c>
      <c r="I9" s="4" t="s">
        <v>20</v>
      </c>
      <c r="J9" s="6" t="s">
        <v>28</v>
      </c>
      <c r="K9" s="2" t="s">
        <v>28</v>
      </c>
      <c r="L9" s="3" t="s">
        <v>66</v>
      </c>
    </row>
    <row r="10" customFormat="false" ht="27.75" hidden="false" customHeight="true" outlineLevel="0" collapsed="false">
      <c r="A10" s="2" t="s">
        <v>67</v>
      </c>
      <c r="B10" s="2" t="s">
        <v>68</v>
      </c>
      <c r="C10" s="3" t="s">
        <v>69</v>
      </c>
      <c r="D10" s="2" t="s">
        <v>63</v>
      </c>
      <c r="E10" s="2" t="s">
        <v>16</v>
      </c>
      <c r="F10" s="2" t="s">
        <v>17</v>
      </c>
      <c r="G10" s="3" t="s">
        <v>70</v>
      </c>
      <c r="H10" s="2" t="s">
        <v>71</v>
      </c>
      <c r="I10" s="6" t="s">
        <v>41</v>
      </c>
      <c r="J10" s="5" t="s">
        <v>21</v>
      </c>
      <c r="K10" s="2" t="s">
        <v>21</v>
      </c>
      <c r="L10" s="3" t="s">
        <v>72</v>
      </c>
    </row>
    <row r="11" customFormat="false" ht="27.75" hidden="false" customHeight="true" outlineLevel="0" collapsed="false">
      <c r="A11" s="2" t="s">
        <v>71</v>
      </c>
      <c r="B11" s="2" t="s">
        <v>73</v>
      </c>
      <c r="C11" s="3" t="s">
        <v>74</v>
      </c>
      <c r="D11" s="2" t="s">
        <v>63</v>
      </c>
      <c r="E11" s="2" t="s">
        <v>16</v>
      </c>
      <c r="F11" s="2" t="s">
        <v>17</v>
      </c>
      <c r="G11" s="3" t="s">
        <v>75</v>
      </c>
      <c r="H11" s="2" t="s">
        <v>76</v>
      </c>
      <c r="I11" s="6" t="s">
        <v>41</v>
      </c>
      <c r="J11" s="6" t="s">
        <v>28</v>
      </c>
      <c r="K11" s="2" t="s">
        <v>21</v>
      </c>
      <c r="L11" s="3" t="s">
        <v>77</v>
      </c>
    </row>
    <row r="12" customFormat="false" ht="27.75" hidden="false" customHeight="true" outlineLevel="0" collapsed="false">
      <c r="A12" s="2" t="s">
        <v>78</v>
      </c>
      <c r="B12" s="2" t="s">
        <v>79</v>
      </c>
      <c r="C12" s="3" t="s">
        <v>80</v>
      </c>
      <c r="D12" s="2" t="s">
        <v>81</v>
      </c>
      <c r="E12" s="2" t="s">
        <v>16</v>
      </c>
      <c r="F12" s="2" t="s">
        <v>17</v>
      </c>
      <c r="G12" s="3" t="s">
        <v>82</v>
      </c>
      <c r="H12" s="2" t="s">
        <v>78</v>
      </c>
      <c r="I12" s="4" t="s">
        <v>20</v>
      </c>
      <c r="J12" s="5" t="s">
        <v>21</v>
      </c>
      <c r="K12" s="2" t="s">
        <v>83</v>
      </c>
      <c r="L12" s="3" t="s">
        <v>84</v>
      </c>
    </row>
    <row r="13" customFormat="false" ht="27.75" hidden="false" customHeight="true" outlineLevel="0" collapsed="false">
      <c r="A13" s="2" t="s">
        <v>85</v>
      </c>
      <c r="B13" s="2" t="s">
        <v>86</v>
      </c>
      <c r="C13" s="3" t="s">
        <v>87</v>
      </c>
      <c r="D13" s="2" t="s">
        <v>81</v>
      </c>
      <c r="E13" s="2" t="s">
        <v>16</v>
      </c>
      <c r="F13" s="2" t="s">
        <v>38</v>
      </c>
      <c r="G13" s="3" t="s">
        <v>88</v>
      </c>
      <c r="H13" s="2" t="s">
        <v>89</v>
      </c>
      <c r="I13" s="6" t="s">
        <v>41</v>
      </c>
      <c r="J13" s="6" t="s">
        <v>28</v>
      </c>
      <c r="K13" s="2" t="s">
        <v>28</v>
      </c>
      <c r="L13" s="3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7" t="s">
        <v>91</v>
      </c>
      <c r="B1" s="7"/>
      <c r="C1" s="7"/>
      <c r="D1" s="7"/>
      <c r="E1" s="7"/>
      <c r="F1" s="7"/>
    </row>
    <row r="2" customFormat="false" ht="21.75" hidden="false" customHeight="true" outlineLevel="0" collapsed="false">
      <c r="A2" s="8" t="s">
        <v>92</v>
      </c>
      <c r="B2" s="8" t="s">
        <v>93</v>
      </c>
    </row>
    <row r="3" customFormat="false" ht="21.75" hidden="false" customHeight="true" outlineLevel="0" collapsed="false">
      <c r="A3" s="9" t="s">
        <v>94</v>
      </c>
      <c r="B3" s="10" t="n">
        <f aca="false">COUNTA(Defects!B2:B1000)</f>
        <v>12</v>
      </c>
    </row>
    <row r="4" customFormat="false" ht="21.75" hidden="false" customHeight="true" outlineLevel="0" collapsed="false">
      <c r="A4" s="11" t="s">
        <v>95</v>
      </c>
      <c r="B4" s="10" t="n">
        <f aca="false">COUNTIF(Defects!I2:I1000,"Open")</f>
        <v>5</v>
      </c>
    </row>
    <row r="5" customFormat="false" ht="21.75" hidden="false" customHeight="true" outlineLevel="0" collapsed="false">
      <c r="A5" s="12" t="s">
        <v>96</v>
      </c>
      <c r="B5" s="10" t="n">
        <f aca="false">COUNTIF(Defects!I2:I1000,"Closed")</f>
        <v>7</v>
      </c>
    </row>
    <row r="6" customFormat="false" ht="21.75" hidden="false" customHeight="true" outlineLevel="0" collapsed="false">
      <c r="A6" s="13" t="s">
        <v>97</v>
      </c>
      <c r="B6" s="10" t="n">
        <f aca="false">COUNTIF(Defects!J2:J1000,"Critical")</f>
        <v>0</v>
      </c>
    </row>
    <row r="7" customFormat="false" ht="21.75" hidden="false" customHeight="true" outlineLevel="0" collapsed="false">
      <c r="A7" s="12" t="s">
        <v>98</v>
      </c>
      <c r="B7" s="10" t="n">
        <f aca="false">COUNTIF(Defects!J2:J1000,"High")</f>
        <v>5</v>
      </c>
    </row>
    <row r="8" customFormat="false" ht="21.75" hidden="false" customHeight="true" outlineLevel="0" collapsed="false">
      <c r="A8" s="14" t="s">
        <v>99</v>
      </c>
      <c r="B8" s="10" t="n">
        <f aca="false">COUNTIF(Defects!J2:J1000,"Medium")</f>
        <v>5</v>
      </c>
    </row>
    <row r="9" customFormat="false" ht="21.75" hidden="false" customHeight="true" outlineLevel="0" collapsed="false">
      <c r="A9" s="15" t="s">
        <v>100</v>
      </c>
      <c r="B9" s="10" t="n">
        <f aca="false">COUNTIF(Defects!J2:J1000,"Low")</f>
        <v>2</v>
      </c>
    </row>
    <row r="10" customFormat="false" ht="21.75" hidden="false" customHeight="true" outlineLevel="0" collapsed="false">
      <c r="A10" s="9" t="s">
        <v>101</v>
      </c>
      <c r="B10" s="10" t="n">
        <f aca="false">COUNTIF(Defects!F2:F1000,"Functional")</f>
        <v>6</v>
      </c>
    </row>
    <row r="11" customFormat="false" ht="21.75" hidden="false" customHeight="true" outlineLevel="0" collapsed="false">
      <c r="A11" s="9" t="s">
        <v>102</v>
      </c>
      <c r="B11" s="10" t="n">
        <f aca="false">COUNTIF(Defects!F2:F1000,"Performance")</f>
        <v>3</v>
      </c>
    </row>
    <row r="12" customFormat="false" ht="21.75" hidden="false" customHeight="true" outlineLevel="0" collapsed="false">
      <c r="A12" s="9" t="s">
        <v>103</v>
      </c>
      <c r="B12" s="10" t="n">
        <f aca="false">COUNTIF(Defects!F2:F1000,"UI")+COUNTIF(Defects!F2:F1000,"Usability")</f>
        <v>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2026-02-25T08:33:19Z</dcterms:created>
  <dc:creator>openpyxl</dc:creator>
  <dc:description/>
  <dc:language>en-US</dc:language>
  <cp:lastModifiedBy/>
  <dcterms:modified xsi:type="dcterms:W3CDTF">2026-02-25T08:33:19Z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